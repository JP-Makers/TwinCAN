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Byte Order" sheetId="2" r:id="rId2"/>
    <sheet name="Factor &amp; Offset" sheetId="3" r:id="rId3"/>
    <sheet name="Initial Value" sheetId="4" r:id="rId4"/>
    <sheet name="Length" sheetId="5" r:id="rId5"/>
    <sheet name="Message DLC" sheetId="6" r:id="rId6"/>
    <sheet name="Message Exists" sheetId="7" r:id="rId7"/>
    <sheet name="Message ID" sheetId="8" r:id="rId8"/>
    <sheet name="Min &amp; Max" sheetId="9" r:id="rId9"/>
    <sheet name="Signal Exists" sheetId="10" r:id="rId10"/>
    <sheet name="Start Bit" sheetId="11" r:id="rId11"/>
    <sheet name="Type &amp; Multiplexer" sheetId="12" r:id="rId12"/>
    <sheet name="Unit" sheetId="13" r:id="rId13"/>
  </sheets>
  <definedNames>
    <definedName name="_xlnm._FilterDatabase" localSheetId="1" hidden="1">'Byte Order'!$A$1:$F$2</definedName>
    <definedName name="_xlnm._FilterDatabase" localSheetId="2" hidden="1">'Factor &amp; Offset'!$A$1:$F$3</definedName>
    <definedName name="_xlnm._FilterDatabase" localSheetId="3" hidden="1">'Initial Value'!$A$1:$F$5</definedName>
    <definedName name="_xlnm._FilterDatabase" localSheetId="5" hidden="1">'Message DLC'!$A$1:$F$2</definedName>
    <definedName name="_xlnm._FilterDatabase" localSheetId="6" hidden="1">'Message Exists'!$A$1:$F$3</definedName>
    <definedName name="_xlnm._FilterDatabase" localSheetId="7" hidden="1">'Message ID'!$A$1:$F$2</definedName>
    <definedName name="_xlnm._FilterDatabase" localSheetId="8" hidden="1">'Min &amp; Max'!$A$1:$F$2</definedName>
    <definedName name="_xlnm._FilterDatabase" localSheetId="9" hidden="1">'Signal Exists'!$A$1:$F$3</definedName>
    <definedName name="_xlnm._FilterDatabase" localSheetId="10" hidden="1">'Start Bit'!$A$1:$F$3</definedName>
    <definedName name="_xlnm._FilterDatabase" localSheetId="11" hidden="1">'Type &amp; Multiplexer'!$A$1:$F$2</definedName>
    <definedName name="_xlnm._FilterDatabase" localSheetId="4" hidden="1">Length!$A$1:$F$2</definedName>
    <definedName name="_xlnm._FilterDatabase" localSheetId="0" hidden="1">Main!$A$1:$C$13</definedName>
    <definedName name="_xlnm._FilterDatabase" localSheetId="12" hidden="1">Unit!$A$1:$F$2</definedName>
  </definedNames>
  <calcPr calcId="124519" fullCalcOnLoad="1"/>
</workbook>
</file>

<file path=xl/sharedStrings.xml><?xml version="1.0" encoding="utf-8"?>
<sst xmlns="http://schemas.openxmlformats.org/spreadsheetml/2006/main" count="197" uniqueCount="68">
  <si>
    <t>Category</t>
  </si>
  <si>
    <t>Link</t>
  </si>
  <si>
    <t>Differences</t>
  </si>
  <si>
    <t>Byte Order</t>
  </si>
  <si>
    <t>Factor &amp; Offset</t>
  </si>
  <si>
    <t>Initial Value</t>
  </si>
  <si>
    <t>Length</t>
  </si>
  <si>
    <t>Message DLC</t>
  </si>
  <si>
    <t>Message Exists</t>
  </si>
  <si>
    <t>Message ID</t>
  </si>
  <si>
    <t>Min &amp; Max</t>
  </si>
  <si>
    <t>Signal Exists</t>
  </si>
  <si>
    <t>Start Bit</t>
  </si>
  <si>
    <t>Type &amp; Multiplexer</t>
  </si>
  <si>
    <t>Unit</t>
  </si>
  <si>
    <t>Type</t>
  </si>
  <si>
    <t>Message</t>
  </si>
  <si>
    <t>Signal</t>
  </si>
  <si>
    <t>Field</t>
  </si>
  <si>
    <t>DBC1</t>
  </si>
  <si>
    <t>DBC2</t>
  </si>
  <si>
    <t>Cyclic_Read_Status</t>
  </si>
  <si>
    <t>Read_Coil_DC_Output_Cyclic</t>
  </si>
  <si>
    <t>Motorola</t>
  </si>
  <si>
    <t>Intel</t>
  </si>
  <si>
    <t>Read_Status_Reg_Act_Cyclic</t>
  </si>
  <si>
    <t>Factor</t>
  </si>
  <si>
    <t>1</t>
  </si>
  <si>
    <t>2</t>
  </si>
  <si>
    <t>Send_Object</t>
  </si>
  <si>
    <t>Send_Coil_DC_Output</t>
  </si>
  <si>
    <t>Offset</t>
  </si>
  <si>
    <t>0</t>
  </si>
  <si>
    <t>Cyclic_Read_Limits_1</t>
  </si>
  <si>
    <t>Read_Limit_Umax_Cyclic</t>
  </si>
  <si>
    <t>Initial Value (Vector)</t>
  </si>
  <si>
    <t>1.9999999999999996</t>
  </si>
  <si>
    <t>Initial Value (Raw)</t>
  </si>
  <si>
    <t>2621.40032584006</t>
  </si>
  <si>
    <t>Read_Object</t>
  </si>
  <si>
    <t>Read_Alarm_Count_OV</t>
  </si>
  <si>
    <t>16</t>
  </si>
  <si>
    <t>10</t>
  </si>
  <si>
    <t>DLC</t>
  </si>
  <si>
    <t>8</t>
  </si>
  <si>
    <t>7</t>
  </si>
  <si>
    <t>Cyclic_Send_Set_Value</t>
  </si>
  <si>
    <t>Exists</t>
  </si>
  <si>
    <t>No</t>
  </si>
  <si>
    <t>Yes</t>
  </si>
  <si>
    <t>Cyclic_Send_Set_Values</t>
  </si>
  <si>
    <t>Cyclic_Read_Act_Values</t>
  </si>
  <si>
    <t>0x101</t>
  </si>
  <si>
    <t>0x120</t>
  </si>
  <si>
    <t>Max Value</t>
  </si>
  <si>
    <t>1023</t>
  </si>
  <si>
    <t>Number_of_register</t>
  </si>
  <si>
    <t>Number_of_registers</t>
  </si>
  <si>
    <t>Start Bit (Vector)</t>
  </si>
  <si>
    <t>6</t>
  </si>
  <si>
    <t>Start Bit (Raw)</t>
  </si>
  <si>
    <t>Read_Coil_AI_REM_SB_Action</t>
  </si>
  <si>
    <t>Value Type</t>
  </si>
  <si>
    <t>Unsigned</t>
  </si>
  <si>
    <t>Signed</t>
  </si>
  <si>
    <t>Send_Coil_AI_REM_SB_Action</t>
  </si>
  <si>
    <t>No Unit</t>
  </si>
  <si>
    <t>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</si>
</sst>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0.7109375" customWidth="1"/>
    <col min="2" max="2" width="35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f>HYPERLINK("#'Byte Order'!A1", "Go to 'Byte Order'")</f>
        <v>0</v>
      </c>
      <c r="C2" s="2">
        <v>1</v>
      </c>
    </row>
    <row r="3" spans="1:3">
      <c r="A3" s="2" t="s">
        <v>4</v>
      </c>
      <c r="B3" s="3">
        <f>HYPERLINK("#'Factor &amp; Offset'!A1", "Go to 'Factor &amp; Offset'")</f>
        <v>0</v>
      </c>
      <c r="C3" s="2">
        <v>2</v>
      </c>
    </row>
    <row r="4" spans="1:3">
      <c r="A4" s="2" t="s">
        <v>5</v>
      </c>
      <c r="B4" s="3">
        <f>HYPERLINK("#'Initial Value'!A1", "Go to 'Initial Value'")</f>
        <v>0</v>
      </c>
      <c r="C4" s="2">
        <v>4</v>
      </c>
    </row>
    <row r="5" spans="1:3">
      <c r="A5" s="2" t="s">
        <v>6</v>
      </c>
      <c r="B5" s="3">
        <f>HYPERLINK("#'Length'!A1", "Go to 'Length'")</f>
        <v>0</v>
      </c>
      <c r="C5" s="2">
        <v>1</v>
      </c>
    </row>
    <row r="6" spans="1:3">
      <c r="A6" s="2" t="s">
        <v>7</v>
      </c>
      <c r="B6" s="3">
        <f>HYPERLINK("#'Message DLC'!A1", "Go to 'Message DLC'")</f>
        <v>0</v>
      </c>
      <c r="C6" s="2">
        <v>1</v>
      </c>
    </row>
    <row r="7" spans="1:3">
      <c r="A7" s="2" t="s">
        <v>8</v>
      </c>
      <c r="B7" s="3">
        <f>HYPERLINK("#'Message Exists'!A1", "Go to 'Message Exists'")</f>
        <v>0</v>
      </c>
      <c r="C7" s="2">
        <v>2</v>
      </c>
    </row>
    <row r="8" spans="1:3">
      <c r="A8" s="2" t="s">
        <v>9</v>
      </c>
      <c r="B8" s="3">
        <f>HYPERLINK("#'Message ID'!A1", "Go to 'Message ID'")</f>
        <v>0</v>
      </c>
      <c r="C8" s="2">
        <v>1</v>
      </c>
    </row>
    <row r="9" spans="1:3">
      <c r="A9" s="2" t="s">
        <v>10</v>
      </c>
      <c r="B9" s="3">
        <f>HYPERLINK("#'Min &amp; Max'!A1", "Go to 'Min &amp; Max'")</f>
        <v>0</v>
      </c>
      <c r="C9" s="2">
        <v>1</v>
      </c>
    </row>
    <row r="10" spans="1:3">
      <c r="A10" s="2" t="s">
        <v>11</v>
      </c>
      <c r="B10" s="3">
        <f>HYPERLINK("#'Signal Exists'!A1", "Go to 'Signal Exists'")</f>
        <v>0</v>
      </c>
      <c r="C10" s="2">
        <v>2</v>
      </c>
    </row>
    <row r="11" spans="1:3">
      <c r="A11" s="2" t="s">
        <v>12</v>
      </c>
      <c r="B11" s="3">
        <f>HYPERLINK("#'Start Bit'!A1", "Go to 'Start Bit'")</f>
        <v>0</v>
      </c>
      <c r="C11" s="2">
        <v>2</v>
      </c>
    </row>
    <row r="12" spans="1:3">
      <c r="A12" s="2" t="s">
        <v>13</v>
      </c>
      <c r="B12" s="3">
        <f>HYPERLINK("#'Type &amp; Multiplexer'!A1", "Go to 'Type &amp; Multiplexer'")</f>
        <v>0</v>
      </c>
      <c r="C12" s="2">
        <v>1</v>
      </c>
    </row>
    <row r="13" spans="1:3">
      <c r="A13" s="2" t="s">
        <v>14</v>
      </c>
      <c r="B13" s="3">
        <f>HYPERLINK("#'Unit'!A1", "Go to 'Unit'")</f>
        <v>0</v>
      </c>
      <c r="C13" s="2">
        <v>1</v>
      </c>
    </row>
  </sheetData>
  <autoFilter ref="A1:C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21</v>
      </c>
      <c r="C2" s="2" t="s">
        <v>22</v>
      </c>
      <c r="D2" s="2" t="s">
        <v>3</v>
      </c>
      <c r="E2" s="2" t="s">
        <v>23</v>
      </c>
      <c r="F2" s="2" t="s">
        <v>24</v>
      </c>
    </row>
  </sheetData>
  <autoFilter ref="A1:F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21</v>
      </c>
      <c r="C2" s="2" t="s">
        <v>25</v>
      </c>
      <c r="D2" s="2" t="s">
        <v>26</v>
      </c>
      <c r="E2" s="2" t="s">
        <v>27</v>
      </c>
      <c r="F2" s="2" t="s">
        <v>28</v>
      </c>
    </row>
    <row r="3" spans="1:6">
      <c r="A3" s="2" t="s">
        <v>17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27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33</v>
      </c>
      <c r="C2" s="2" t="s">
        <v>34</v>
      </c>
      <c r="D2" s="2" t="s">
        <v>35</v>
      </c>
      <c r="E2" s="2" t="s">
        <v>32</v>
      </c>
      <c r="F2" s="2" t="s">
        <v>36</v>
      </c>
    </row>
    <row r="3" spans="1:6">
      <c r="A3" s="2" t="s">
        <v>17</v>
      </c>
      <c r="B3" s="2" t="s">
        <v>33</v>
      </c>
      <c r="C3" s="2" t="s">
        <v>34</v>
      </c>
      <c r="D3" s="2" t="s">
        <v>37</v>
      </c>
      <c r="E3" s="2" t="s">
        <v>32</v>
      </c>
      <c r="F3" s="2" t="s">
        <v>38</v>
      </c>
    </row>
    <row r="4" spans="1:6">
      <c r="A4" s="2" t="s">
        <v>17</v>
      </c>
      <c r="B4" s="2" t="s">
        <v>29</v>
      </c>
      <c r="C4" s="2" t="s">
        <v>30</v>
      </c>
      <c r="D4" s="2" t="s">
        <v>35</v>
      </c>
      <c r="E4" s="2" t="s">
        <v>32</v>
      </c>
      <c r="F4" s="2" t="s">
        <v>28</v>
      </c>
    </row>
    <row r="5" spans="1:6">
      <c r="A5" s="2" t="s">
        <v>17</v>
      </c>
      <c r="B5" s="2" t="s">
        <v>29</v>
      </c>
      <c r="C5" s="2" t="s">
        <v>30</v>
      </c>
      <c r="D5" s="2" t="s">
        <v>37</v>
      </c>
      <c r="E5" s="2" t="s">
        <v>32</v>
      </c>
      <c r="F5" s="2" t="s">
        <v>27</v>
      </c>
    </row>
  </sheetData>
  <autoFilter ref="A1:F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39</v>
      </c>
      <c r="C2" s="2" t="s">
        <v>40</v>
      </c>
      <c r="D2" s="2" t="s">
        <v>6</v>
      </c>
      <c r="E2" s="2" t="s">
        <v>41</v>
      </c>
      <c r="F2" s="2" t="s">
        <v>42</v>
      </c>
    </row>
  </sheetData>
  <autoFilter ref="A1:F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16</v>
      </c>
      <c r="B2" s="2" t="s">
        <v>29</v>
      </c>
      <c r="C2" s="2"/>
      <c r="D2" s="2" t="s">
        <v>43</v>
      </c>
      <c r="E2" s="2" t="s">
        <v>44</v>
      </c>
      <c r="F2" s="2" t="s">
        <v>45</v>
      </c>
    </row>
  </sheetData>
  <autoFilter ref="A1:F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16</v>
      </c>
      <c r="B2" s="2" t="s">
        <v>46</v>
      </c>
      <c r="C2" s="2"/>
      <c r="D2" s="2" t="s">
        <v>47</v>
      </c>
      <c r="E2" s="2" t="s">
        <v>48</v>
      </c>
      <c r="F2" s="2" t="s">
        <v>49</v>
      </c>
    </row>
    <row r="3" spans="1:6">
      <c r="A3" s="2" t="s">
        <v>16</v>
      </c>
      <c r="B3" s="2" t="s">
        <v>50</v>
      </c>
      <c r="C3" s="2"/>
      <c r="D3" s="2" t="s">
        <v>47</v>
      </c>
      <c r="E3" s="2" t="s">
        <v>49</v>
      </c>
      <c r="F3" s="2" t="s">
        <v>48</v>
      </c>
    </row>
  </sheetData>
  <autoFilter ref="A1:F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16</v>
      </c>
      <c r="B2" s="2" t="s">
        <v>51</v>
      </c>
      <c r="C2" s="2"/>
      <c r="D2" s="2" t="s">
        <v>9</v>
      </c>
      <c r="E2" s="2" t="s">
        <v>52</v>
      </c>
      <c r="F2" s="2" t="s">
        <v>53</v>
      </c>
    </row>
  </sheetData>
  <autoFilter ref="A1:F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39</v>
      </c>
      <c r="C2" s="2" t="s">
        <v>40</v>
      </c>
      <c r="D2" s="2" t="s">
        <v>54</v>
      </c>
      <c r="E2" s="2" t="s">
        <v>32</v>
      </c>
      <c r="F2" s="2" t="s">
        <v>55</v>
      </c>
    </row>
  </sheetData>
  <autoFilter ref="A1:F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29</v>
      </c>
      <c r="C2" s="2" t="s">
        <v>56</v>
      </c>
      <c r="D2" s="2" t="s">
        <v>47</v>
      </c>
      <c r="E2" s="2" t="s">
        <v>48</v>
      </c>
      <c r="F2" s="2" t="s">
        <v>49</v>
      </c>
    </row>
    <row r="3" spans="1:6">
      <c r="A3" s="2" t="s">
        <v>17</v>
      </c>
      <c r="B3" s="2" t="s">
        <v>29</v>
      </c>
      <c r="C3" s="2" t="s">
        <v>57</v>
      </c>
      <c r="D3" s="2" t="s">
        <v>47</v>
      </c>
      <c r="E3" s="2" t="s">
        <v>49</v>
      </c>
      <c r="F3" s="2" t="s">
        <v>48</v>
      </c>
    </row>
  </sheetData>
  <autoFilter ref="A1:F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21</v>
      </c>
      <c r="C2" s="2" t="s">
        <v>22</v>
      </c>
      <c r="D2" s="2" t="s">
        <v>58</v>
      </c>
      <c r="E2" s="2" t="s">
        <v>59</v>
      </c>
      <c r="F2" s="2" t="s">
        <v>27</v>
      </c>
    </row>
    <row r="3" spans="1:6">
      <c r="A3" s="2" t="s">
        <v>17</v>
      </c>
      <c r="B3" s="2" t="s">
        <v>21</v>
      </c>
      <c r="C3" s="2" t="s">
        <v>22</v>
      </c>
      <c r="D3" s="2" t="s">
        <v>60</v>
      </c>
      <c r="E3" s="2" t="s">
        <v>59</v>
      </c>
      <c r="F3" s="2" t="s">
        <v>27</v>
      </c>
    </row>
  </sheetData>
  <autoFilter ref="A1:F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39</v>
      </c>
      <c r="C2" s="2" t="s">
        <v>61</v>
      </c>
      <c r="D2" s="2" t="s">
        <v>62</v>
      </c>
      <c r="E2" s="2" t="s">
        <v>63</v>
      </c>
      <c r="F2" s="2" t="s">
        <v>64</v>
      </c>
    </row>
  </sheetData>
  <autoFilter ref="A1:F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0.7109375" customWidth="1"/>
    <col min="2" max="3" width="20.7109375" customWidth="1"/>
    <col min="4" max="4" width="25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17</v>
      </c>
      <c r="B2" s="2" t="s">
        <v>29</v>
      </c>
      <c r="C2" s="2" t="s">
        <v>65</v>
      </c>
      <c r="D2" s="2" t="s">
        <v>14</v>
      </c>
      <c r="E2" s="2" t="s">
        <v>66</v>
      </c>
      <c r="F2" s="2" t="s">
        <v>67</v>
      </c>
    </row>
  </sheetData>
  <autoFilter ref="A1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</vt:lpstr>
      <vt:lpstr>Byte Order</vt:lpstr>
      <vt:lpstr>Factor &amp; Offset</vt:lpstr>
      <vt:lpstr>Initial Value</vt:lpstr>
      <vt:lpstr>Length</vt:lpstr>
      <vt:lpstr>Message DLC</vt:lpstr>
      <vt:lpstr>Message Exists</vt:lpstr>
      <vt:lpstr>Message ID</vt:lpstr>
      <vt:lpstr>Min &amp; Max</vt:lpstr>
      <vt:lpstr>Signal Exists</vt:lpstr>
      <vt:lpstr>Start Bit</vt:lpstr>
      <vt:lpstr>Type &amp; Multiplexer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2026-05-22T15:34:54Z</dcterms:created>
  <dcterms:modified xsi:type="dcterms:W3CDTF">2026-05-22T15:34:54Z</dcterms:modified>
</cp:coreProperties>
</file>